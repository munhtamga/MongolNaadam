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Hobby\MongolNaadam\"/>
    </mc:Choice>
  </mc:AlternateContent>
  <bookViews>
    <workbookView xWindow="0" yWindow="0" windowWidth="23040" windowHeight="9072" activeTab="1"/>
  </bookViews>
  <sheets>
    <sheet name="Guide" sheetId="5" r:id="rId1"/>
    <sheet name="Principle" sheetId="1" r:id="rId2"/>
    <sheet name="Bank Statement" sheetId="2" r:id="rId3"/>
    <sheet name="Dashboard_Client" sheetId="3" r:id="rId4"/>
    <sheet name="VBAcode_JavaScript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1" l="1"/>
  <c r="H33" i="1"/>
  <c r="G33" i="1"/>
  <c r="F37" i="1"/>
  <c r="F36" i="1"/>
  <c r="F35" i="1"/>
  <c r="F34" i="1"/>
  <c r="F27" i="1"/>
  <c r="D28" i="1"/>
  <c r="D29" i="1" s="1"/>
  <c r="D30" i="1" s="1"/>
  <c r="D31" i="1" s="1"/>
  <c r="F31" i="1" s="1"/>
  <c r="G4" i="3"/>
  <c r="G3" i="3"/>
  <c r="G2" i="3"/>
  <c r="F2" i="3"/>
  <c r="F3" i="3" s="1"/>
  <c r="F4" i="3" s="1"/>
  <c r="E18" i="1"/>
  <c r="E19" i="1" s="1"/>
  <c r="E20" i="1" s="1"/>
  <c r="E21" i="1" s="1"/>
  <c r="F7" i="1"/>
  <c r="E8" i="1"/>
  <c r="E9" i="1" s="1"/>
  <c r="F28" i="1" l="1"/>
  <c r="F32" i="1" s="1"/>
  <c r="F29" i="1"/>
  <c r="F30" i="1"/>
  <c r="E10" i="1"/>
  <c r="F10" i="1" s="1"/>
  <c r="F9" i="1"/>
  <c r="F8" i="1"/>
  <c r="E11" i="1" l="1"/>
  <c r="F11" i="1" s="1"/>
  <c r="F12" i="1" s="1"/>
  <c r="D19" i="1" l="1"/>
  <c r="F19" i="1" s="1"/>
  <c r="D18" i="1"/>
  <c r="F18" i="1" s="1"/>
  <c r="D17" i="1"/>
  <c r="F17" i="1" s="1"/>
  <c r="F33" i="1" s="1"/>
  <c r="D21" i="1"/>
  <c r="F21" i="1" s="1"/>
  <c r="D20" i="1"/>
  <c r="F20" i="1" s="1"/>
</calcChain>
</file>

<file path=xl/sharedStrings.xml><?xml version="1.0" encoding="utf-8"?>
<sst xmlns="http://schemas.openxmlformats.org/spreadsheetml/2006/main" count="78" uniqueCount="56">
  <si>
    <t>5 давсан бөх</t>
  </si>
  <si>
    <t>6 давсан бөх</t>
  </si>
  <si>
    <t>7 давсан бөх</t>
  </si>
  <si>
    <t>8 давсан бөх</t>
  </si>
  <si>
    <t>9 давсан бөх</t>
  </si>
  <si>
    <t>Нийт зөв таасан тоо</t>
  </si>
  <si>
    <t>Нийт оноо</t>
  </si>
  <si>
    <t>Даваанд харгалзах оноо (Даваа өгсөх тутамд оноо 2 дахин үржигдэнэ)</t>
  </si>
  <si>
    <t>Даваанд харгалзах оноо (Зөв таасан тоог даваанд харгалзах оноогоор үржүүлнэ)</t>
  </si>
  <si>
    <t>5 даваа</t>
  </si>
  <si>
    <t>6 даваа</t>
  </si>
  <si>
    <t>7 даваа</t>
  </si>
  <si>
    <t>8 даваа</t>
  </si>
  <si>
    <t>9 даваа</t>
  </si>
  <si>
    <t>Нийт оноог тооцоолох</t>
  </si>
  <si>
    <t>Шагналын сан:</t>
  </si>
  <si>
    <t>1 тааврын үнэ цэнэ</t>
  </si>
  <si>
    <t>Зөв таасан 1 таавар бүрт оногдох мөнгө</t>
  </si>
  <si>
    <t>Огноо</t>
  </si>
  <si>
    <t>UserID</t>
  </si>
  <si>
    <t>Орлого</t>
  </si>
  <si>
    <t>Зарлага</t>
  </si>
  <si>
    <t>Үлдэгдэл</t>
  </si>
  <si>
    <t>Total_Bet_Amount</t>
  </si>
  <si>
    <t>д/д</t>
  </si>
  <si>
    <t>Last_Checked_Date</t>
  </si>
  <si>
    <t>Last_Transaction_Code</t>
  </si>
  <si>
    <t>Алхам</t>
  </si>
  <si>
    <t>Хэн</t>
  </si>
  <si>
    <t>Админ</t>
  </si>
  <si>
    <t>VBA</t>
  </si>
  <si>
    <r>
      <t xml:space="preserve">Банкны хуулгыг авч, нээсэн </t>
    </r>
    <r>
      <rPr>
        <b/>
        <sz val="11"/>
        <color theme="1"/>
        <rFont val="Calibri"/>
        <family val="2"/>
        <scheme val="minor"/>
      </rPr>
      <t>EXCEL</t>
    </r>
    <r>
      <rPr>
        <sz val="11"/>
        <color theme="1"/>
        <rFont val="Calibri"/>
        <family val="2"/>
        <scheme val="minor"/>
      </rPr>
      <t xml:space="preserve"> файлын </t>
    </r>
    <r>
      <rPr>
        <b/>
        <sz val="11"/>
        <color theme="1"/>
        <rFont val="Calibri"/>
        <family val="2"/>
        <scheme val="minor"/>
      </rPr>
      <t>Sheet1</t>
    </r>
    <r>
      <rPr>
        <sz val="11"/>
        <color theme="1"/>
        <rFont val="Calibri"/>
        <family val="2"/>
        <scheme val="minor"/>
      </rPr>
      <t xml:space="preserve"> нэртэй sheet-д хуулан, /Bank_Statement хавтсанд тухайн өдрийн огноо болон хувилбарын дугаараар нэрлэн хадгална. Жишээ нь: </t>
    </r>
    <r>
      <rPr>
        <b/>
        <sz val="11"/>
        <color theme="1"/>
        <rFont val="Calibri"/>
        <family val="2"/>
        <scheme val="minor"/>
      </rPr>
      <t>20260621_01.xlsx</t>
    </r>
    <r>
      <rPr>
        <sz val="11"/>
        <color theme="1"/>
        <rFont val="Calibri"/>
        <family val="2"/>
        <scheme val="minor"/>
      </rPr>
      <t xml:space="preserve"> гм</t>
    </r>
  </si>
  <si>
    <r>
      <t xml:space="preserve">VBA ажиллуулна. VBA дотор байгаа </t>
    </r>
    <r>
      <rPr>
        <b/>
        <sz val="11"/>
        <color theme="1"/>
        <rFont val="Calibri"/>
        <family val="2"/>
        <scheme val="minor"/>
      </rPr>
      <t>[ТАНЫ НЭР]</t>
    </r>
    <r>
      <rPr>
        <sz val="11"/>
        <color theme="1"/>
        <rFont val="Calibri"/>
        <family val="2"/>
        <scheme val="minor"/>
      </rPr>
      <t xml:space="preserve"> гэсэн файлын нэрийг сүүлд татсан Банкны хуулганы нэрээр сольно. Жишээ нь: </t>
    </r>
    <r>
      <rPr>
        <b/>
        <sz val="11"/>
        <color theme="1"/>
        <rFont val="Calibri"/>
        <family val="2"/>
        <scheme val="minor"/>
      </rPr>
      <t>20260621_01.xlsx</t>
    </r>
    <r>
      <rPr>
        <sz val="11"/>
        <color theme="1"/>
        <rFont val="Calibri"/>
        <family val="2"/>
        <scheme val="minor"/>
      </rPr>
      <t xml:space="preserve"> гэх мэт</t>
    </r>
  </si>
  <si>
    <t>Last_File_Name</t>
  </si>
  <si>
    <t>Сүүлийн гүйлгээний дугаарын дараагийн мөрнөөс эхлэн орлогын дүн, UserID-г авч, Dashboard_Client sheet-ын A:B баганын сүүлийн мөрийн доор хуулна</t>
  </si>
  <si>
    <t>Date</t>
  </si>
  <si>
    <t>Amount</t>
  </si>
  <si>
    <t>User1</t>
  </si>
  <si>
    <t>User2</t>
  </si>
  <si>
    <t>User3</t>
  </si>
  <si>
    <r>
      <rPr>
        <b/>
        <sz val="11"/>
        <color theme="1"/>
        <rFont val="Calibri"/>
        <family val="2"/>
        <scheme val="minor"/>
      </rPr>
      <t>Dashboard_Client</t>
    </r>
    <r>
      <rPr>
        <sz val="11"/>
        <color theme="1"/>
        <rFont val="Calibri"/>
        <family val="2"/>
        <scheme val="minor"/>
      </rPr>
      <t xml:space="preserve"> sheet-ын </t>
    </r>
    <r>
      <rPr>
        <b/>
        <sz val="11"/>
        <color theme="1"/>
        <rFont val="Calibri"/>
        <family val="2"/>
        <scheme val="minor"/>
      </rPr>
      <t>J:L</t>
    </r>
    <r>
      <rPr>
        <sz val="11"/>
        <color theme="1"/>
        <rFont val="Calibri"/>
        <family val="2"/>
        <scheme val="minor"/>
      </rPr>
      <t xml:space="preserve"> баганын хамгийн сүүлийн мөрнөөс сүүлд өөрчлөлт хийсэн огноо, гүйлгээний дугаарыг олно</t>
    </r>
  </si>
  <si>
    <r>
      <t xml:space="preserve">Сүүлийн орлогын гүйлгээний огноо, гүйлгээний дугаар, файлын нэрийг </t>
    </r>
    <r>
      <rPr>
        <b/>
        <sz val="11"/>
        <color theme="1"/>
        <rFont val="Calibri"/>
        <family val="2"/>
        <scheme val="minor"/>
      </rPr>
      <t>Dashboard_Client</t>
    </r>
    <r>
      <rPr>
        <sz val="11"/>
        <color theme="1"/>
        <rFont val="Calibri"/>
        <family val="2"/>
        <scheme val="minor"/>
      </rPr>
      <t xml:space="preserve"> sheet-ын </t>
    </r>
    <r>
      <rPr>
        <b/>
        <sz val="11"/>
        <color theme="1"/>
        <rFont val="Calibri"/>
        <family val="2"/>
        <scheme val="minor"/>
      </rPr>
      <t>J:L</t>
    </r>
    <r>
      <rPr>
        <sz val="11"/>
        <color theme="1"/>
        <rFont val="Calibri"/>
        <family val="2"/>
        <scheme val="minor"/>
      </rPr>
      <t xml:space="preserve"> баганын хамгийн сүүлийн мөрний доор хуулна</t>
    </r>
  </si>
  <si>
    <t>Ажиллаж дууссан тухай мэдэгдэл дэлгэцэнд гаргана</t>
  </si>
  <si>
    <t>Орлогын нийт дүнгээр шагналын сангийн дүнг Database-д өөрчлөх Script ажиллуулна</t>
  </si>
  <si>
    <t>Тааварт оролцогчдын тавьсан бооцооны дүнг Database-д өөрчлөх Script ажиллуулна</t>
  </si>
  <si>
    <t>Тааварт оролцогчийн шагнал бодох жишээ</t>
  </si>
  <si>
    <t>Таасан тоо</t>
  </si>
  <si>
    <t>Оноо</t>
  </si>
  <si>
    <t>Нэг онооны үнэ цэнэ</t>
  </si>
  <si>
    <t>Даваа бүрийн 1 онооны үнэ цэнэ</t>
  </si>
  <si>
    <t>Тааварт оролцогчийн хураамж</t>
  </si>
  <si>
    <t>Оролцогчийн тоо</t>
  </si>
  <si>
    <t>Платформын суутгал</t>
  </si>
  <si>
    <t>ХХАОАТ</t>
  </si>
  <si>
    <t>Бодогдсон шагнал</t>
  </si>
  <si>
    <t>Олгох шагнал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</si>
</sst>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_(* #,##0_);_(* \(#,##0\);_(* &quot;-&quot;??_);_(@_)"/>
    <numFmt numFmtId="167" formatCode="[$-409]m/d/yy\ h:mm\ AM/P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right"/>
    </xf>
    <xf numFmtId="43" fontId="0" fillId="0" borderId="0" xfId="1" applyFon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wrapText="1"/>
    </xf>
    <xf numFmtId="14" fontId="0" fillId="0" borderId="0" xfId="0" applyNumberFormat="1"/>
    <xf numFmtId="167" fontId="0" fillId="0" borderId="0" xfId="0" applyNumberFormat="1"/>
    <xf numFmtId="43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43" fontId="0" fillId="0" borderId="1" xfId="1" applyFont="1" applyBorder="1"/>
    <xf numFmtId="165" fontId="0" fillId="0" borderId="1" xfId="0" applyNumberFormat="1" applyBorder="1"/>
    <xf numFmtId="9" fontId="0" fillId="0" borderId="1" xfId="0" applyNumberForma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1"/>
  <sheetViews>
    <sheetView workbookViewId="0">
      <selection activeCell="B9" sqref="B9"/>
    </sheetView>
  </sheetViews>
  <sheetFormatPr defaultRowHeight="14.4" x14ac:dyDescent="0.3"/>
  <cols>
    <col min="2" max="2" width="47.77734375" bestFit="1" customWidth="1"/>
    <col min="3" max="3" width="13.77734375" bestFit="1" customWidth="1"/>
  </cols>
  <sheetData>
    <row r="1" spans="1:3" x14ac:dyDescent="0.3">
      <c r="A1" t="s">
        <v>24</v>
      </c>
      <c r="B1" t="s">
        <v>27</v>
      </c>
      <c r="C1" t="s">
        <v>28</v>
      </c>
    </row>
    <row r="2" spans="1:3" ht="57.6" x14ac:dyDescent="0.3">
      <c r="A2">
        <v>1</v>
      </c>
      <c r="B2" s="1" t="s">
        <v>31</v>
      </c>
      <c r="C2" t="s">
        <v>29</v>
      </c>
    </row>
    <row r="3" spans="1:3" ht="43.2" x14ac:dyDescent="0.3">
      <c r="A3">
        <v>2</v>
      </c>
      <c r="B3" s="1" t="s">
        <v>32</v>
      </c>
      <c r="C3" t="s">
        <v>29</v>
      </c>
    </row>
    <row r="4" spans="1:3" ht="43.2" x14ac:dyDescent="0.3">
      <c r="A4">
        <v>3</v>
      </c>
      <c r="B4" s="1" t="s">
        <v>40</v>
      </c>
      <c r="C4" t="s">
        <v>30</v>
      </c>
    </row>
    <row r="5" spans="1:3" ht="43.2" x14ac:dyDescent="0.3">
      <c r="A5">
        <v>4</v>
      </c>
      <c r="B5" s="8" t="s">
        <v>34</v>
      </c>
      <c r="C5" t="s">
        <v>30</v>
      </c>
    </row>
    <row r="6" spans="1:3" ht="43.2" x14ac:dyDescent="0.3">
      <c r="A6">
        <v>5</v>
      </c>
      <c r="B6" s="8" t="s">
        <v>41</v>
      </c>
      <c r="C6" t="s">
        <v>30</v>
      </c>
    </row>
    <row r="7" spans="1:3" x14ac:dyDescent="0.3">
      <c r="A7">
        <v>6</v>
      </c>
      <c r="B7" s="8" t="s">
        <v>42</v>
      </c>
      <c r="C7" t="s">
        <v>30</v>
      </c>
    </row>
    <row r="8" spans="1:3" ht="28.8" x14ac:dyDescent="0.3">
      <c r="A8">
        <v>7</v>
      </c>
      <c r="B8" s="8" t="s">
        <v>43</v>
      </c>
      <c r="C8" t="s">
        <v>29</v>
      </c>
    </row>
    <row r="9" spans="1:3" ht="28.8" x14ac:dyDescent="0.3">
      <c r="A9">
        <v>8</v>
      </c>
      <c r="B9" s="8" t="s">
        <v>44</v>
      </c>
      <c r="C9" t="s">
        <v>29</v>
      </c>
    </row>
    <row r="10" spans="1:3" x14ac:dyDescent="0.3">
      <c r="B10" s="8"/>
    </row>
    <row r="11" spans="1:3" x14ac:dyDescent="0.3">
      <c r="B1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C1:I37"/>
  <sheetViews>
    <sheetView tabSelected="1" workbookViewId="0">
      <selection activeCell="E7" sqref="E7"/>
    </sheetView>
  </sheetViews>
  <sheetFormatPr defaultRowHeight="14.4" x14ac:dyDescent="0.3"/>
  <cols>
    <col min="1" max="1" width="12" bestFit="1" customWidth="1"/>
    <col min="3" max="3" width="12" bestFit="1" customWidth="1"/>
    <col min="4" max="4" width="18.44140625" bestFit="1" customWidth="1"/>
    <col min="5" max="5" width="20.109375" customWidth="1"/>
    <col min="6" max="6" width="24.44140625" customWidth="1"/>
    <col min="8" max="8" width="10" bestFit="1" customWidth="1"/>
    <col min="9" max="9" width="10.6640625" bestFit="1" customWidth="1"/>
  </cols>
  <sheetData>
    <row r="1" spans="3:6" ht="28.8" x14ac:dyDescent="0.3">
      <c r="D1" s="1" t="s">
        <v>51</v>
      </c>
      <c r="E1" s="1" t="s">
        <v>50</v>
      </c>
      <c r="F1" s="3" t="s">
        <v>15</v>
      </c>
    </row>
    <row r="2" spans="3:6" x14ac:dyDescent="0.3">
      <c r="D2" s="5">
        <v>300</v>
      </c>
      <c r="E2" s="5">
        <v>10000</v>
      </c>
      <c r="F2" s="5">
        <v>3000000</v>
      </c>
    </row>
    <row r="4" spans="3:6" ht="28.8" customHeight="1" x14ac:dyDescent="0.5">
      <c r="C4" s="2" t="s">
        <v>14</v>
      </c>
      <c r="D4" s="2"/>
      <c r="E4" s="2"/>
      <c r="F4" s="2"/>
    </row>
    <row r="6" spans="3:6" ht="57.6" x14ac:dyDescent="0.3">
      <c r="D6" s="7" t="s">
        <v>5</v>
      </c>
      <c r="E6" s="6" t="s">
        <v>7</v>
      </c>
      <c r="F6" s="6" t="s">
        <v>8</v>
      </c>
    </row>
    <row r="7" spans="3:6" x14ac:dyDescent="0.3">
      <c r="C7" t="s">
        <v>9</v>
      </c>
      <c r="D7">
        <v>50</v>
      </c>
      <c r="E7">
        <v>1</v>
      </c>
      <c r="F7">
        <f>+E7*D7</f>
        <v>50</v>
      </c>
    </row>
    <row r="8" spans="3:6" x14ac:dyDescent="0.3">
      <c r="C8" t="s">
        <v>10</v>
      </c>
      <c r="D8">
        <v>20</v>
      </c>
      <c r="E8">
        <f>+E7*2</f>
        <v>2</v>
      </c>
      <c r="F8">
        <f>+E8*D8</f>
        <v>40</v>
      </c>
    </row>
    <row r="9" spans="3:6" x14ac:dyDescent="0.3">
      <c r="C9" t="s">
        <v>11</v>
      </c>
      <c r="D9">
        <v>10</v>
      </c>
      <c r="E9">
        <f t="shared" ref="E9:E11" si="0">+E8*2</f>
        <v>4</v>
      </c>
      <c r="F9">
        <f>+E9*D9</f>
        <v>40</v>
      </c>
    </row>
    <row r="10" spans="3:6" x14ac:dyDescent="0.3">
      <c r="C10" t="s">
        <v>12</v>
      </c>
      <c r="D10">
        <v>5</v>
      </c>
      <c r="E10">
        <f t="shared" si="0"/>
        <v>8</v>
      </c>
      <c r="F10">
        <f>+E10*D10</f>
        <v>40</v>
      </c>
    </row>
    <row r="11" spans="3:6" x14ac:dyDescent="0.3">
      <c r="C11" t="s">
        <v>13</v>
      </c>
      <c r="D11">
        <v>2</v>
      </c>
      <c r="E11">
        <f t="shared" si="0"/>
        <v>16</v>
      </c>
      <c r="F11">
        <f>+E11*D11</f>
        <v>32</v>
      </c>
    </row>
    <row r="12" spans="3:6" x14ac:dyDescent="0.3">
      <c r="F12">
        <f>+SUM(F7:F11)</f>
        <v>202</v>
      </c>
    </row>
    <row r="14" spans="3:6" ht="25.8" x14ac:dyDescent="0.5">
      <c r="C14" s="2" t="s">
        <v>17</v>
      </c>
      <c r="D14" s="2"/>
      <c r="E14" s="2"/>
      <c r="F14" s="2"/>
    </row>
    <row r="16" spans="3:6" ht="57.6" x14ac:dyDescent="0.3">
      <c r="D16" s="7" t="s">
        <v>16</v>
      </c>
      <c r="E16" s="6" t="s">
        <v>7</v>
      </c>
      <c r="F16" s="6" t="s">
        <v>49</v>
      </c>
    </row>
    <row r="17" spans="3:6" x14ac:dyDescent="0.3">
      <c r="C17" t="s">
        <v>0</v>
      </c>
      <c r="D17" s="4">
        <f>$F$2/$F$12</f>
        <v>14851.485148514852</v>
      </c>
      <c r="E17">
        <v>1</v>
      </c>
      <c r="F17" s="4">
        <f>+D17*E17</f>
        <v>14851.485148514852</v>
      </c>
    </row>
    <row r="18" spans="3:6" x14ac:dyDescent="0.3">
      <c r="C18" t="s">
        <v>1</v>
      </c>
      <c r="D18" s="4">
        <f>$F$2/$F$12</f>
        <v>14851.485148514852</v>
      </c>
      <c r="E18">
        <f>+E17*2</f>
        <v>2</v>
      </c>
      <c r="F18" s="4">
        <f>+D18*E18</f>
        <v>29702.970297029704</v>
      </c>
    </row>
    <row r="19" spans="3:6" x14ac:dyDescent="0.3">
      <c r="C19" t="s">
        <v>2</v>
      </c>
      <c r="D19" s="4">
        <f>$F$2/$F$12</f>
        <v>14851.485148514852</v>
      </c>
      <c r="E19">
        <f t="shared" ref="E19:E21" si="1">+E18*2</f>
        <v>4</v>
      </c>
      <c r="F19" s="4">
        <f>+D19*E19</f>
        <v>59405.940594059408</v>
      </c>
    </row>
    <row r="20" spans="3:6" x14ac:dyDescent="0.3">
      <c r="C20" t="s">
        <v>3</v>
      </c>
      <c r="D20" s="4">
        <f>$F$2/$F$12</f>
        <v>14851.485148514852</v>
      </c>
      <c r="E20">
        <f t="shared" si="1"/>
        <v>8</v>
      </c>
      <c r="F20" s="4">
        <f>+D20*E20</f>
        <v>118811.88118811882</v>
      </c>
    </row>
    <row r="21" spans="3:6" x14ac:dyDescent="0.3">
      <c r="C21" t="s">
        <v>4</v>
      </c>
      <c r="D21" s="4">
        <f>$F$2/$F$12</f>
        <v>14851.485148514852</v>
      </c>
      <c r="E21">
        <f t="shared" si="1"/>
        <v>16</v>
      </c>
      <c r="F21" s="4">
        <f>+D21*E21</f>
        <v>237623.76237623763</v>
      </c>
    </row>
    <row r="24" spans="3:6" ht="25.8" x14ac:dyDescent="0.5">
      <c r="C24" s="2" t="s">
        <v>45</v>
      </c>
      <c r="D24" s="2"/>
      <c r="E24" s="2"/>
      <c r="F24" s="2"/>
    </row>
    <row r="26" spans="3:6" ht="57.6" x14ac:dyDescent="0.3">
      <c r="D26" s="6" t="s">
        <v>7</v>
      </c>
      <c r="E26" t="s">
        <v>46</v>
      </c>
      <c r="F26" t="s">
        <v>47</v>
      </c>
    </row>
    <row r="27" spans="3:6" x14ac:dyDescent="0.3">
      <c r="C27" s="12" t="s">
        <v>0</v>
      </c>
      <c r="D27" s="12">
        <v>1</v>
      </c>
      <c r="E27" s="12">
        <v>4</v>
      </c>
      <c r="F27" s="12">
        <f>+D27*E27</f>
        <v>4</v>
      </c>
    </row>
    <row r="28" spans="3:6" x14ac:dyDescent="0.3">
      <c r="C28" s="12" t="s">
        <v>1</v>
      </c>
      <c r="D28" s="12">
        <f>+D27*2</f>
        <v>2</v>
      </c>
      <c r="E28" s="12">
        <v>2</v>
      </c>
      <c r="F28" s="12">
        <f t="shared" ref="F28:F31" si="2">+D28*E28</f>
        <v>4</v>
      </c>
    </row>
    <row r="29" spans="3:6" x14ac:dyDescent="0.3">
      <c r="C29" s="12" t="s">
        <v>2</v>
      </c>
      <c r="D29" s="12">
        <f t="shared" ref="D29:D31" si="3">+D28*2</f>
        <v>4</v>
      </c>
      <c r="E29" s="12">
        <v>0</v>
      </c>
      <c r="F29" s="12">
        <f t="shared" si="2"/>
        <v>0</v>
      </c>
    </row>
    <row r="30" spans="3:6" x14ac:dyDescent="0.3">
      <c r="C30" s="12" t="s">
        <v>3</v>
      </c>
      <c r="D30" s="12">
        <f t="shared" si="3"/>
        <v>8</v>
      </c>
      <c r="E30" s="12">
        <v>0</v>
      </c>
      <c r="F30" s="12">
        <f t="shared" si="2"/>
        <v>0</v>
      </c>
    </row>
    <row r="31" spans="3:6" x14ac:dyDescent="0.3">
      <c r="C31" s="12" t="s">
        <v>4</v>
      </c>
      <c r="D31" s="12">
        <f t="shared" si="3"/>
        <v>16</v>
      </c>
      <c r="E31" s="12">
        <v>1</v>
      </c>
      <c r="F31" s="12">
        <f t="shared" si="2"/>
        <v>16</v>
      </c>
    </row>
    <row r="32" spans="3:6" x14ac:dyDescent="0.3">
      <c r="C32" s="13" t="s">
        <v>6</v>
      </c>
      <c r="D32" s="13"/>
      <c r="E32" s="13"/>
      <c r="F32" s="12">
        <f>+SUM(F27:F31)</f>
        <v>24</v>
      </c>
    </row>
    <row r="33" spans="3:9" x14ac:dyDescent="0.3">
      <c r="C33" s="13" t="s">
        <v>48</v>
      </c>
      <c r="D33" s="13"/>
      <c r="E33" s="13"/>
      <c r="F33" s="14">
        <f>+F17</f>
        <v>14851.485148514852</v>
      </c>
      <c r="G33">
        <f>-(F33-E2)*E35</f>
        <v>-485.14851485148523</v>
      </c>
      <c r="H33">
        <f>-(F33-E2+G33)*E36</f>
        <v>-436.63366336633675</v>
      </c>
      <c r="I33" s="11">
        <f>+F33+G33+H33</f>
        <v>13929.70297029703</v>
      </c>
    </row>
    <row r="34" spans="3:9" x14ac:dyDescent="0.3">
      <c r="C34" s="13" t="s">
        <v>54</v>
      </c>
      <c r="D34" s="13"/>
      <c r="E34" s="13"/>
      <c r="F34" s="15">
        <f>+F32*F33</f>
        <v>356435.64356435643</v>
      </c>
    </row>
    <row r="35" spans="3:9" x14ac:dyDescent="0.3">
      <c r="C35" s="17" t="s">
        <v>52</v>
      </c>
      <c r="D35" s="18"/>
      <c r="E35" s="16">
        <v>0.1</v>
      </c>
      <c r="F35" s="14">
        <f>-(F34-E2)*E35</f>
        <v>-34643.564356435643</v>
      </c>
    </row>
    <row r="36" spans="3:9" x14ac:dyDescent="0.3">
      <c r="C36" s="17" t="s">
        <v>53</v>
      </c>
      <c r="D36" s="18"/>
      <c r="E36" s="16">
        <v>0.1</v>
      </c>
      <c r="F36" s="15">
        <f>-(F34-E2+F35)*E36</f>
        <v>-31179.207920792083</v>
      </c>
    </row>
    <row r="37" spans="3:9" x14ac:dyDescent="0.3">
      <c r="C37" s="13" t="s">
        <v>55</v>
      </c>
      <c r="D37" s="13"/>
      <c r="E37" s="13"/>
      <c r="F37" s="15">
        <f>+F34+F36</f>
        <v>325256.43564356433</v>
      </c>
    </row>
  </sheetData>
  <mergeCells count="9">
    <mergeCell ref="C35:D35"/>
    <mergeCell ref="C36:D36"/>
    <mergeCell ref="C37:E37"/>
    <mergeCell ref="C4:F4"/>
    <mergeCell ref="C14:F14"/>
    <mergeCell ref="C24:F24"/>
    <mergeCell ref="C32:E32"/>
    <mergeCell ref="C33:E33"/>
    <mergeCell ref="C34:E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"/>
  <sheetViews>
    <sheetView workbookViewId="0">
      <selection activeCell="B2" sqref="B2"/>
    </sheetView>
  </sheetViews>
  <sheetFormatPr defaultRowHeight="14.4" x14ac:dyDescent="0.3"/>
  <sheetData>
    <row r="1" spans="1:5" x14ac:dyDescent="0.3">
      <c r="A1" t="s">
        <v>19</v>
      </c>
      <c r="B1" t="s">
        <v>18</v>
      </c>
      <c r="C1" t="s">
        <v>20</v>
      </c>
      <c r="D1" t="s">
        <v>21</v>
      </c>
      <c r="E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"/>
  <sheetViews>
    <sheetView workbookViewId="0">
      <selection activeCell="A6" sqref="A6"/>
    </sheetView>
  </sheetViews>
  <sheetFormatPr defaultRowHeight="14.4" x14ac:dyDescent="0.3"/>
  <cols>
    <col min="1" max="1" width="15.88671875" bestFit="1" customWidth="1"/>
    <col min="2" max="2" width="11.21875" bestFit="1" customWidth="1"/>
    <col min="3" max="3" width="16.5546875" bestFit="1" customWidth="1"/>
    <col min="5" max="6" width="9.5546875" bestFit="1" customWidth="1"/>
    <col min="7" max="7" width="16.5546875" bestFit="1" customWidth="1"/>
    <col min="10" max="10" width="17.33203125" bestFit="1" customWidth="1"/>
    <col min="11" max="12" width="20.33203125" bestFit="1" customWidth="1"/>
  </cols>
  <sheetData>
    <row r="1" spans="1:12" x14ac:dyDescent="0.3">
      <c r="A1" t="s">
        <v>35</v>
      </c>
      <c r="B1" t="s">
        <v>36</v>
      </c>
      <c r="C1" t="s">
        <v>19</v>
      </c>
      <c r="E1" t="s">
        <v>19</v>
      </c>
      <c r="F1" t="s">
        <v>35</v>
      </c>
      <c r="G1" t="s">
        <v>23</v>
      </c>
      <c r="J1" t="s">
        <v>25</v>
      </c>
      <c r="K1" t="s">
        <v>26</v>
      </c>
      <c r="L1" t="s">
        <v>33</v>
      </c>
    </row>
    <row r="2" spans="1:12" x14ac:dyDescent="0.3">
      <c r="A2" s="10">
        <v>46192</v>
      </c>
      <c r="B2" s="5">
        <v>1000</v>
      </c>
      <c r="C2" t="s">
        <v>37</v>
      </c>
      <c r="E2" t="s">
        <v>37</v>
      </c>
      <c r="F2" s="9">
        <f ca="1">+TODAY()</f>
        <v>46195</v>
      </c>
      <c r="G2">
        <f>SUMIF(C:C,E2,B:B)</f>
        <v>3000</v>
      </c>
    </row>
    <row r="3" spans="1:12" x14ac:dyDescent="0.3">
      <c r="A3" s="10">
        <v>46192</v>
      </c>
      <c r="B3" s="5">
        <v>1000</v>
      </c>
      <c r="C3" t="s">
        <v>38</v>
      </c>
      <c r="E3" t="s">
        <v>38</v>
      </c>
      <c r="F3" s="9">
        <f ca="1">+F2</f>
        <v>46195</v>
      </c>
      <c r="G3">
        <f t="shared" ref="G3:G4" si="0">SUMIF(C:C,E3,B:B)</f>
        <v>2000</v>
      </c>
    </row>
    <row r="4" spans="1:12" x14ac:dyDescent="0.3">
      <c r="A4" s="10">
        <v>46192</v>
      </c>
      <c r="B4" s="5">
        <v>1000</v>
      </c>
      <c r="C4" t="s">
        <v>39</v>
      </c>
      <c r="E4" t="s">
        <v>39</v>
      </c>
      <c r="F4" s="9">
        <f t="shared" ref="F4" ca="1" si="1">+F3</f>
        <v>46195</v>
      </c>
      <c r="G4">
        <f t="shared" si="0"/>
        <v>1000</v>
      </c>
    </row>
    <row r="5" spans="1:12" x14ac:dyDescent="0.3">
      <c r="A5" s="10">
        <v>46193</v>
      </c>
      <c r="B5" s="5">
        <v>1000</v>
      </c>
      <c r="C5" t="s">
        <v>37</v>
      </c>
    </row>
    <row r="6" spans="1:12" x14ac:dyDescent="0.3">
      <c r="A6" s="10">
        <v>46193</v>
      </c>
      <c r="B6" s="5">
        <v>1000</v>
      </c>
      <c r="C6" t="s">
        <v>38</v>
      </c>
    </row>
    <row r="7" spans="1:12" x14ac:dyDescent="0.3">
      <c r="A7" s="10">
        <v>46194</v>
      </c>
      <c r="B7" s="5">
        <v>1000</v>
      </c>
      <c r="C7" t="s">
        <v>37</v>
      </c>
    </row>
    <row r="8" spans="1:12" x14ac:dyDescent="0.3">
      <c r="B8" s="5"/>
    </row>
    <row r="9" spans="1:12" x14ac:dyDescent="0.3">
      <c r="B9" s="5"/>
    </row>
    <row r="10" spans="1:12" x14ac:dyDescent="0.3">
      <c r="B10" s="5"/>
    </row>
    <row r="11" spans="1:12" x14ac:dyDescent="0.3">
      <c r="B1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"/>
  <sheetViews>
    <sheetView workbookViewId="0">
      <selection activeCell="D1" sqref="D1"/>
    </sheetView>
  </sheetViews>
  <sheetFormatPr defaultRowHeight="14.4" x14ac:dyDescent="0.3"/>
  <cols>
    <col min="2" max="2" width="47.77734375" bestFit="1" customWidth="1"/>
  </cols>
  <sheetData>
    <row r="2" spans="2:2" x14ac:dyDescent="0.3"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Principle</vt:lpstr>
      <vt:lpstr>Bank Statement</vt:lpstr>
      <vt:lpstr>Dashboard_Client</vt:lpstr>
      <vt:lpstr>VBAcode_JavaScript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2026-06-21T08:10:48Z</dcterms:created>
  <dcterms:modified xsi:type="dcterms:W3CDTF">2026-06-22T04:26:23Z</dcterms:modified>
</cp:coreProperties>
</file>